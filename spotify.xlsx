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13_ncr:1_{A73F72CD-A13B-4AB0-900D-B2B5AB71023A}" xr6:coauthVersionLast="47" xr6:coauthVersionMax="47" xr10:uidLastSave="{00000000-0000-0000-0000-000000000000}"/>
  <bookViews>
    <workbookView xWindow="-108" yWindow="-108" windowWidth="23256" windowHeight="12456" xr2:uid="{4FC24678-6379-4501-AD12-A02D7F4B039A}"/>
  </bookViews>
  <sheets>
    <sheet name="Dashboard" sheetId="7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<sst xmlns="http://schemas.openxmlformats.org/spreadsheetml/2006/main" count="155" uniqueCount="56">
  <si>
    <t>Song</t>
  </si>
  <si>
    <t>Artist</t>
  </si>
  <si>
    <t>Genre</t>
  </si>
  <si>
    <t>Release Year</t>
  </si>
  <si>
    <t>Streams (M)</t>
  </si>
  <si>
    <t>Popularity</t>
  </si>
  <si>
    <t>Duration (min)</t>
  </si>
  <si>
    <t>Blinding Lights</t>
  </si>
  <si>
    <t>The Weeknd</t>
  </si>
  <si>
    <t>Pop</t>
  </si>
  <si>
    <t>Shape of You</t>
  </si>
  <si>
    <t>Ed Sheeran</t>
  </si>
  <si>
    <t>Someone Like You</t>
  </si>
  <si>
    <t>Adele</t>
  </si>
  <si>
    <t>Believer</t>
  </si>
  <si>
    <t>Imagine Dragons</t>
  </si>
  <si>
    <t>Rock</t>
  </si>
  <si>
    <t>Perfect</t>
  </si>
  <si>
    <t>Levitating</t>
  </si>
  <si>
    <t>Dua Lipa</t>
  </si>
  <si>
    <t>Stay</t>
  </si>
  <si>
    <t>The Kid LAROI</t>
  </si>
  <si>
    <t>Heat Waves</t>
  </si>
  <si>
    <t>Glass Animals</t>
  </si>
  <si>
    <t>Indie</t>
  </si>
  <si>
    <t>Faded</t>
  </si>
  <si>
    <t>Alan Walker</t>
  </si>
  <si>
    <t>EDM</t>
  </si>
  <si>
    <t>Havana</t>
  </si>
  <si>
    <t>Camila Cabello</t>
  </si>
  <si>
    <t>Dance Monkey</t>
  </si>
  <si>
    <t>Tones and I</t>
  </si>
  <si>
    <t>Despacito</t>
  </si>
  <si>
    <t>Luis Fonsi</t>
  </si>
  <si>
    <t>Latin</t>
  </si>
  <si>
    <t>Counting Stars</t>
  </si>
  <si>
    <t>OneRepublic</t>
  </si>
  <si>
    <t>Pop Rock</t>
  </si>
  <si>
    <t>Closer</t>
  </si>
  <si>
    <t>The Chainsmokers</t>
  </si>
  <si>
    <t>Cheap Thrills</t>
  </si>
  <si>
    <t>Sia</t>
  </si>
  <si>
    <t>Lovely</t>
  </si>
  <si>
    <t>Billie Eilish</t>
  </si>
  <si>
    <t>Senorita</t>
  </si>
  <si>
    <t>Shawn Mendes</t>
  </si>
  <si>
    <t>Bad Guy</t>
  </si>
  <si>
    <t>Thunder</t>
  </si>
  <si>
    <t>Let Me Down Slowly</t>
  </si>
  <si>
    <t>Alec Benjamin</t>
  </si>
  <si>
    <t>Row Labels</t>
  </si>
  <si>
    <t>Grand Total</t>
  </si>
  <si>
    <t>Sum of Streams (M)</t>
  </si>
  <si>
    <t>Sum of Release Year</t>
  </si>
  <si>
    <t>Sum of Popularity</t>
  </si>
  <si>
    <t>SPOTIFY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</si>
</sst>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1ED7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ED7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[spotify.xlsx]Sheet2!PivotTable1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ED7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rgbClr val="1ED7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stream by artist</a:t>
            </a:r>
          </a:p>
        </c:rich>
      </c:tx>
      <c:layout>
        <c:manualLayout>
          <c:xMode val="edge"/>
          <c:yMode val="edge"/>
          <c:x val="0.34827785996270816"/>
          <c:y val="3.5786395498031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ED7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</c:spPr>
      </c:pivotFmt>
      <c:pivotFmt>
        <c:idx val="2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Sheet2!$A$4:$A$21</c:f>
              <c:strCache>
                <c:ptCount val="17"/>
                <c:pt idx="0">
                  <c:v>Adele</c:v>
                </c:pt>
                <c:pt idx="1">
                  <c:v>Alan Walker</c:v>
                </c:pt>
                <c:pt idx="2">
                  <c:v>Alec Benjamin</c:v>
                </c:pt>
                <c:pt idx="3">
                  <c:v>Billie Eilish</c:v>
                </c:pt>
                <c:pt idx="4">
                  <c:v>Camila Cabello</c:v>
                </c:pt>
                <c:pt idx="5">
                  <c:v>Dua Lipa</c:v>
                </c:pt>
                <c:pt idx="6">
                  <c:v>Ed Sheeran</c:v>
                </c:pt>
                <c:pt idx="7">
                  <c:v>Glass Animals</c:v>
                </c:pt>
                <c:pt idx="8">
                  <c:v>Imagine Dragons</c:v>
                </c:pt>
                <c:pt idx="9">
                  <c:v>Luis Fonsi</c:v>
                </c:pt>
                <c:pt idx="10">
                  <c:v>OneRepublic</c:v>
                </c:pt>
                <c:pt idx="11">
                  <c:v>Shawn Mendes</c:v>
                </c:pt>
                <c:pt idx="12">
                  <c:v>Sia</c:v>
                </c:pt>
                <c:pt idx="13">
                  <c:v>The Chainsmokers</c:v>
                </c:pt>
                <c:pt idx="14">
                  <c:v>The Kid LAROI</c:v>
                </c:pt>
                <c:pt idx="15">
                  <c:v>The Weeknd</c:v>
                </c:pt>
                <c:pt idx="16">
                  <c:v>Tones and I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2900</c:v>
                </c:pt>
                <c:pt idx="1">
                  <c:v>2200</c:v>
                </c:pt>
                <c:pt idx="2">
                  <c:v>1600</c:v>
                </c:pt>
                <c:pt idx="3">
                  <c:v>3500</c:v>
                </c:pt>
                <c:pt idx="4">
                  <c:v>2100</c:v>
                </c:pt>
                <c:pt idx="5">
                  <c:v>2500</c:v>
                </c:pt>
                <c:pt idx="6">
                  <c:v>6400</c:v>
                </c:pt>
                <c:pt idx="7">
                  <c:v>2300</c:v>
                </c:pt>
                <c:pt idx="8">
                  <c:v>4350</c:v>
                </c:pt>
                <c:pt idx="9">
                  <c:v>2000</c:v>
                </c:pt>
                <c:pt idx="10">
                  <c:v>1950</c:v>
                </c:pt>
                <c:pt idx="11">
                  <c:v>1750</c:v>
                </c:pt>
                <c:pt idx="12">
                  <c:v>1850</c:v>
                </c:pt>
                <c:pt idx="13">
                  <c:v>1900</c:v>
                </c:pt>
                <c:pt idx="14">
                  <c:v>2400</c:v>
                </c:pt>
                <c:pt idx="15">
                  <c:v>4200</c:v>
                </c:pt>
                <c:pt idx="16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9-4241-82B2-6B4C03F619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463536"/>
        <c:axId val="269617712"/>
      </c:barChart>
      <c:catAx>
        <c:axId val="44746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17712"/>
        <c:crosses val="autoZero"/>
        <c:auto val="1"/>
        <c:lblAlgn val="ctr"/>
        <c:lblOffset val="100"/>
        <c:noMultiLvlLbl val="0"/>
      </c:catAx>
      <c:valAx>
        <c:axId val="2696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6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[spotify.xlsx]Sheet3!PivotTable2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7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595-4C18-923C-FDAF64187B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595-4C18-923C-FDAF64187B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595-4C18-923C-FDAF64187B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595-4C18-923C-FDAF64187B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F595-4C18-923C-FDAF64187B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F595-4C18-923C-FDAF64187B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6"/>
                <c:pt idx="0">
                  <c:v>EDM</c:v>
                </c:pt>
                <c:pt idx="1">
                  <c:v>Indie</c:v>
                </c:pt>
                <c:pt idx="2">
                  <c:v>Latin</c:v>
                </c:pt>
                <c:pt idx="3">
                  <c:v>Pop</c:v>
                </c:pt>
                <c:pt idx="4">
                  <c:v>Pop Rock</c:v>
                </c:pt>
                <c:pt idx="5">
                  <c:v>Rock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4100</c:v>
                </c:pt>
                <c:pt idx="1">
                  <c:v>2300</c:v>
                </c:pt>
                <c:pt idx="2">
                  <c:v>2000</c:v>
                </c:pt>
                <c:pt idx="3">
                  <c:v>31250</c:v>
                </c:pt>
                <c:pt idx="4">
                  <c:v>1950</c:v>
                </c:pt>
                <c:pt idx="5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95-4C18-923C-FDAF6418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83478518402335"/>
          <c:y val="0.26466740248203086"/>
          <c:w val="0.23152971147456636"/>
          <c:h val="0.46610637018691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[spotify.xlsx]Sheet4!PivotTable3</c:name>
    <c:fmtId val="9"/>
  </c:pivotSource>
  <c:chart>
    <c:autoTitleDeleted val="0"/>
    <c:pivotFmts>
      <c:pivotFmt>
        <c:idx val="0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Sum of Release Year</c:v>
                </c:pt>
              </c:strCache>
            </c:strRef>
          </c:tx>
          <c:spPr>
            <a:pattFill prst="pct50">
              <a:fgClr>
                <a:srgbClr val="1ED76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40347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F-4507-B73F-281EF05CF4A3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Sheet4!$B$4</c:f>
              <c:numCache>
                <c:formatCode>General</c:formatCode>
                <c:ptCount val="1"/>
                <c:pt idx="0">
                  <c:v>45950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F-4507-B73F-281EF05CF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1512592"/>
        <c:axId val="523405520"/>
        <c:axId val="0"/>
      </c:bar3DChart>
      <c:catAx>
        <c:axId val="5315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05520"/>
        <c:crosses val="autoZero"/>
        <c:auto val="1"/>
        <c:lblAlgn val="ctr"/>
        <c:lblOffset val="100"/>
        <c:noMultiLvlLbl val="0"/>
      </c:catAx>
      <c:valAx>
        <c:axId val="5234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[spotify.xlsx]Sheet5!PivotTable4</c:name>
    <c:fmtId val="16"/>
  </c:pivotSource>
  <c:chart>
    <c:autoTitleDeleted val="1"/>
    <c:pivotFmts>
      <c:pivotFmt>
        <c:idx val="0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C-4D31-B360-C46AC8F45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7480240"/>
        <c:axId val="523423280"/>
        <c:axId val="0"/>
      </c:bar3DChart>
      <c:catAx>
        <c:axId val="4474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3280"/>
        <c:crosses val="autoZero"/>
        <c:auto val="1"/>
        <c:lblAlgn val="ctr"/>
        <c:lblOffset val="100"/>
        <c:noMultiLvlLbl val="0"/>
      </c:catAx>
      <c:valAx>
        <c:axId val="5234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80240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[spotify.xlsx]Sheet6!PivotTable5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02328754331555"/>
          <c:y val="3.0738715332845057E-2"/>
          <c:w val="0.46982833762890291"/>
          <c:h val="0.64002495689133154"/>
        </c:manualLayout>
      </c:layout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Sheet6!$B$4:$B$24</c:f>
              <c:numCache>
                <c:formatCode>General</c:formatCode>
                <c:ptCount val="20"/>
                <c:pt idx="0">
                  <c:v>1700</c:v>
                </c:pt>
                <c:pt idx="1">
                  <c:v>2700</c:v>
                </c:pt>
                <c:pt idx="2">
                  <c:v>4200</c:v>
                </c:pt>
                <c:pt idx="3">
                  <c:v>1850</c:v>
                </c:pt>
                <c:pt idx="4">
                  <c:v>1900</c:v>
                </c:pt>
                <c:pt idx="5">
                  <c:v>1950</c:v>
                </c:pt>
                <c:pt idx="6">
                  <c:v>2050</c:v>
                </c:pt>
                <c:pt idx="7">
                  <c:v>2000</c:v>
                </c:pt>
                <c:pt idx="8">
                  <c:v>2200</c:v>
                </c:pt>
                <c:pt idx="9">
                  <c:v>2100</c:v>
                </c:pt>
                <c:pt idx="10">
                  <c:v>2300</c:v>
                </c:pt>
                <c:pt idx="11">
                  <c:v>1600</c:v>
                </c:pt>
                <c:pt idx="12">
                  <c:v>2500</c:v>
                </c:pt>
                <c:pt idx="13">
                  <c:v>1800</c:v>
                </c:pt>
                <c:pt idx="14">
                  <c:v>2600</c:v>
                </c:pt>
                <c:pt idx="15">
                  <c:v>1750</c:v>
                </c:pt>
                <c:pt idx="16">
                  <c:v>3800</c:v>
                </c:pt>
                <c:pt idx="17">
                  <c:v>2900</c:v>
                </c:pt>
                <c:pt idx="18">
                  <c:v>2400</c:v>
                </c:pt>
                <c:pt idx="19">
                  <c:v>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A-49FA-A400-14225F49CF76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Popularity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Sheet6!$C$4:$C$24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A-49FA-A400-14225F49C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85552"/>
        <c:axId val="523429520"/>
      </c:lineChart>
      <c:catAx>
        <c:axId val="4455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9520"/>
        <c:crosses val="autoZero"/>
        <c:auto val="1"/>
        <c:lblAlgn val="ctr"/>
        <c:lblOffset val="100"/>
        <c:noMultiLvlLbl val="0"/>
      </c:catAx>
      <c:valAx>
        <c:axId val="5234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43429230404107"/>
          <c:y val="0.34924867949294819"/>
          <c:w val="0.31656570769595904"/>
          <c:h val="0.2787538081904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[spotify.xlsx]Sheet7!PivotTable1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Sheet7!$A$4:$A$10</c:f>
              <c:strCache>
                <c:ptCount val="6"/>
                <c:pt idx="0">
                  <c:v>EDM</c:v>
                </c:pt>
                <c:pt idx="1">
                  <c:v>Indie</c:v>
                </c:pt>
                <c:pt idx="2">
                  <c:v>Latin</c:v>
                </c:pt>
                <c:pt idx="3">
                  <c:v>Pop</c:v>
                </c:pt>
                <c:pt idx="4">
                  <c:v>Pop Rock</c:v>
                </c:pt>
                <c:pt idx="5">
                  <c:v>Rock</c:v>
                </c:pt>
              </c:strCache>
            </c:strRef>
          </c:cat>
          <c:val>
            <c:numRef>
              <c:f>Sheet7!$B$4:$B$10</c:f>
              <c:numCache>
                <c:formatCode>General</c:formatCode>
                <c:ptCount val="6"/>
                <c:pt idx="0">
                  <c:v>171</c:v>
                </c:pt>
                <c:pt idx="1">
                  <c:v>93</c:v>
                </c:pt>
                <c:pt idx="2">
                  <c:v>90</c:v>
                </c:pt>
                <c:pt idx="3">
                  <c:v>1164</c:v>
                </c:pt>
                <c:pt idx="4">
                  <c:v>85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2-490F-AE0F-043E42D41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9234304"/>
        <c:axId val="1527979056"/>
        <c:axId val="0"/>
      </c:bar3DChart>
      <c:catAx>
        <c:axId val="153923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79056"/>
        <c:crosses val="autoZero"/>
        <c:auto val="1"/>
        <c:lblAlgn val="ctr"/>
        <c:lblOffset val="100"/>
        <c:noMultiLvlLbl val="0"/>
      </c:catAx>
      <c:valAx>
        <c:axId val="15279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3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[spotify.xlsx]Sheet3!PivotTable2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7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C3F-4AA8-B996-E4BB99D9AE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C3F-4AA8-B996-E4BB99D9AE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C3F-4AA8-B996-E4BB99D9AE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C3F-4AA8-B996-E4BB99D9AE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C3F-4AA8-B996-E4BB99D9AE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C3F-4AA8-B996-E4BB99D9AE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6"/>
                <c:pt idx="0">
                  <c:v>EDM</c:v>
                </c:pt>
                <c:pt idx="1">
                  <c:v>Indie</c:v>
                </c:pt>
                <c:pt idx="2">
                  <c:v>Latin</c:v>
                </c:pt>
                <c:pt idx="3">
                  <c:v>Pop</c:v>
                </c:pt>
                <c:pt idx="4">
                  <c:v>Pop Rock</c:v>
                </c:pt>
                <c:pt idx="5">
                  <c:v>Rock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4100</c:v>
                </c:pt>
                <c:pt idx="1">
                  <c:v>2300</c:v>
                </c:pt>
                <c:pt idx="2">
                  <c:v>2000</c:v>
                </c:pt>
                <c:pt idx="3">
                  <c:v>31250</c:v>
                </c:pt>
                <c:pt idx="4">
                  <c:v>1950</c:v>
                </c:pt>
                <c:pt idx="5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F-4FAC-A390-FBA12530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[spotify.xlsx]Sheet4!PivotTable3</c:name>
    <c:fmtId val="4"/>
  </c:pivotSource>
  <c:chart>
    <c:autoTitleDeleted val="0"/>
    <c:pivotFmts>
      <c:pivotFmt>
        <c:idx val="0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Sum of Release Year</c:v>
                </c:pt>
              </c:strCache>
            </c:strRef>
          </c:tx>
          <c:spPr>
            <a:pattFill prst="pct50">
              <a:fgClr>
                <a:srgbClr val="1ED76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40347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A-4A09-8AEA-F88CC4F72287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Sheet4!$B$4</c:f>
              <c:numCache>
                <c:formatCode>General</c:formatCode>
                <c:ptCount val="1"/>
                <c:pt idx="0">
                  <c:v>45950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A-4A09-8AEA-F88CC4F7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1512592"/>
        <c:axId val="523405520"/>
        <c:axId val="0"/>
      </c:bar3DChart>
      <c:catAx>
        <c:axId val="5315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05520"/>
        <c:crosses val="autoZero"/>
        <c:auto val="1"/>
        <c:lblAlgn val="ctr"/>
        <c:lblOffset val="100"/>
        <c:noMultiLvlLbl val="0"/>
      </c:catAx>
      <c:valAx>
        <c:axId val="5234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[spotify.xlsx]Sheet5!PivotTable4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5-48FD-BEF3-155725EE1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7480240"/>
        <c:axId val="523423280"/>
        <c:axId val="0"/>
      </c:bar3DChart>
      <c:catAx>
        <c:axId val="4474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3280"/>
        <c:crosses val="autoZero"/>
        <c:auto val="1"/>
        <c:lblAlgn val="ctr"/>
        <c:lblOffset val="100"/>
        <c:noMultiLvlLbl val="0"/>
      </c:catAx>
      <c:valAx>
        <c:axId val="5234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[spotify.xlsx]Sheet6!PivotTable5</c:name>
    <c:fmtId val="25"/>
  </c:pivotSource>
  <c:chart>
    <c:autoTitleDeleted val="0"/>
    <c:pivotFmts>
      <c:pivotFmt>
        <c:idx val="0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Sheet6!$B$4:$B$24</c:f>
              <c:numCache>
                <c:formatCode>General</c:formatCode>
                <c:ptCount val="20"/>
                <c:pt idx="0">
                  <c:v>1700</c:v>
                </c:pt>
                <c:pt idx="1">
                  <c:v>2700</c:v>
                </c:pt>
                <c:pt idx="2">
                  <c:v>4200</c:v>
                </c:pt>
                <c:pt idx="3">
                  <c:v>1850</c:v>
                </c:pt>
                <c:pt idx="4">
                  <c:v>1900</c:v>
                </c:pt>
                <c:pt idx="5">
                  <c:v>1950</c:v>
                </c:pt>
                <c:pt idx="6">
                  <c:v>2050</c:v>
                </c:pt>
                <c:pt idx="7">
                  <c:v>2000</c:v>
                </c:pt>
                <c:pt idx="8">
                  <c:v>2200</c:v>
                </c:pt>
                <c:pt idx="9">
                  <c:v>2100</c:v>
                </c:pt>
                <c:pt idx="10">
                  <c:v>2300</c:v>
                </c:pt>
                <c:pt idx="11">
                  <c:v>1600</c:v>
                </c:pt>
                <c:pt idx="12">
                  <c:v>2500</c:v>
                </c:pt>
                <c:pt idx="13">
                  <c:v>1800</c:v>
                </c:pt>
                <c:pt idx="14">
                  <c:v>2600</c:v>
                </c:pt>
                <c:pt idx="15">
                  <c:v>1750</c:v>
                </c:pt>
                <c:pt idx="16">
                  <c:v>3800</c:v>
                </c:pt>
                <c:pt idx="17">
                  <c:v>2900</c:v>
                </c:pt>
                <c:pt idx="18">
                  <c:v>2400</c:v>
                </c:pt>
                <c:pt idx="19">
                  <c:v>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0-4295-B60D-5871A4D3EDB9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Popularity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Sheet6!$C$4:$C$24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0-4295-B60D-5871A4D3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85552"/>
        <c:axId val="523429520"/>
      </c:lineChart>
      <c:catAx>
        <c:axId val="4455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9520"/>
        <c:crosses val="autoZero"/>
        <c:auto val="1"/>
        <c:lblAlgn val="ctr"/>
        <c:lblOffset val="100"/>
        <c:noMultiLvlLbl val="0"/>
      </c:catAx>
      <c:valAx>
        <c:axId val="5234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[spotify.xlsx]Sheet7!PivotTable1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Sheet7!$A$4:$A$10</c:f>
              <c:strCache>
                <c:ptCount val="6"/>
                <c:pt idx="0">
                  <c:v>EDM</c:v>
                </c:pt>
                <c:pt idx="1">
                  <c:v>Indie</c:v>
                </c:pt>
                <c:pt idx="2">
                  <c:v>Latin</c:v>
                </c:pt>
                <c:pt idx="3">
                  <c:v>Pop</c:v>
                </c:pt>
                <c:pt idx="4">
                  <c:v>Pop Rock</c:v>
                </c:pt>
                <c:pt idx="5">
                  <c:v>Rock</c:v>
                </c:pt>
              </c:strCache>
            </c:strRef>
          </c:cat>
          <c:val>
            <c:numRef>
              <c:f>Sheet7!$B$4:$B$10</c:f>
              <c:numCache>
                <c:formatCode>General</c:formatCode>
                <c:ptCount val="6"/>
                <c:pt idx="0">
                  <c:v>171</c:v>
                </c:pt>
                <c:pt idx="1">
                  <c:v>93</c:v>
                </c:pt>
                <c:pt idx="2">
                  <c:v>90</c:v>
                </c:pt>
                <c:pt idx="3">
                  <c:v>1164</c:v>
                </c:pt>
                <c:pt idx="4">
                  <c:v>85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C-4F26-AEA0-FA7B3E8BC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9234304"/>
        <c:axId val="1527979056"/>
        <c:axId val="0"/>
      </c:bar3DChart>
      <c:catAx>
        <c:axId val="153923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79056"/>
        <c:crosses val="autoZero"/>
        <c:auto val="1"/>
        <c:lblAlgn val="ctr"/>
        <c:lblOffset val="100"/>
        <c:noMultiLvlLbl val="0"/>
      </c:catAx>
      <c:valAx>
        <c:axId val="15279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3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106680</xdr:rowOff>
    </xdr:from>
    <xdr:to>
      <xdr:col>7</xdr:col>
      <xdr:colOff>68580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FE7B4-A549-430E-8D70-1617D5876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132521</xdr:colOff>
      <xdr:row>1</xdr:row>
      <xdr:rowOff>119270</xdr:rowOff>
    </xdr:from>
    <xdr:to>
      <xdr:col>12</xdr:col>
      <xdr:colOff>470452</xdr:colOff>
      <xdr:row>16</xdr:row>
      <xdr:rowOff>121064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D07D9F-766E-4D7D-8C58-DD6FA547E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331304</xdr:colOff>
      <xdr:row>17</xdr:row>
      <xdr:rowOff>19880</xdr:rowOff>
    </xdr:from>
    <xdr:to>
      <xdr:col>7</xdr:col>
      <xdr:colOff>79513</xdr:colOff>
      <xdr:row>31</xdr:row>
      <xdr:rowOff>165654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DCD096-4465-4C52-954D-30BEBAD3B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150519</xdr:colOff>
      <xdr:row>17</xdr:row>
      <xdr:rowOff>37629</xdr:rowOff>
    </xdr:from>
    <xdr:to>
      <xdr:col>12</xdr:col>
      <xdr:colOff>491383</xdr:colOff>
      <xdr:row>31</xdr:row>
      <xdr:rowOff>178038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C38562-D195-4186-B43A-CC89709CA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598207</xdr:colOff>
      <xdr:row>1</xdr:row>
      <xdr:rowOff>113944</xdr:rowOff>
    </xdr:from>
    <xdr:to>
      <xdr:col>19</xdr:col>
      <xdr:colOff>420077</xdr:colOff>
      <xdr:row>16</xdr:row>
      <xdr:rowOff>121065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266645-4E01-4FEF-80D8-57E17E90C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17</xdr:row>
      <xdr:rowOff>49850</xdr:rowOff>
    </xdr:from>
    <xdr:to>
      <xdr:col>19</xdr:col>
      <xdr:colOff>420077</xdr:colOff>
      <xdr:row>32</xdr:row>
      <xdr:rowOff>14242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587B85-6722-4247-961A-95AA56BE0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179070</xdr:rowOff>
    </xdr:from>
    <xdr:to>
      <xdr:col>11</xdr:col>
      <xdr:colOff>335280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69148-2148-9259-EAB3-9E02C58C2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163830</xdr:rowOff>
    </xdr:from>
    <xdr:to>
      <xdr:col>11</xdr:col>
      <xdr:colOff>358140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2DFEB-1715-81AC-EBE0-4FB9FE134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2</xdr:row>
      <xdr:rowOff>57150</xdr:rowOff>
    </xdr:from>
    <xdr:to>
      <xdr:col>11</xdr:col>
      <xdr:colOff>274320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9D5F8-EDE3-B43A-76C3-4F8A9745C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3</xdr:row>
      <xdr:rowOff>102870</xdr:rowOff>
    </xdr:from>
    <xdr:to>
      <xdr:col>13</xdr:col>
      <xdr:colOff>365760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4750E-6258-BFDA-2615-4DF350E41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6</xdr:row>
      <xdr:rowOff>41910</xdr:rowOff>
    </xdr:from>
    <xdr:to>
      <xdr:col>12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FFB55-1563-1285-3101-56E898EBF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" refreshedDate="46283.504189814812" createdVersion="8" refreshedVersion="8" minRefreshableVersion="3" recordCount="20" xr:uid="{79DDFDAB-6EF6-4968-A49E-40294F6B5725}">
  <cacheSource type="worksheet">
    <worksheetSource name="Table1"/>
  </cacheSource>
  <cacheFields count="7">
    <cacheField name="Song" numFmtId="0">
      <sharedItems count="20">
        <s v="Blinding Lights"/>
        <s v="Shape of You"/>
        <s v="Someone Like You"/>
        <s v="Believer"/>
        <s v="Perfect"/>
        <s v="Levitating"/>
        <s v="Stay"/>
        <s v="Heat Waves"/>
        <s v="Faded"/>
        <s v="Havana"/>
        <s v="Dance Monkey"/>
        <s v="Despacito"/>
        <s v="Counting Stars"/>
        <s v="Closer"/>
        <s v="Cheap Thrills"/>
        <s v="Lovely"/>
        <s v="Senorita"/>
        <s v="Bad Guy"/>
        <s v="Thunder"/>
        <s v="Let Me Down Slowly"/>
      </sharedItems>
    </cacheField>
    <cacheField name="Artist" numFmtId="0">
      <sharedItems count="17">
        <s v="The Weeknd"/>
        <s v="Ed Sheeran"/>
        <s v="Adele"/>
        <s v="Imagine Dragons"/>
        <s v="Dua Lipa"/>
        <s v="The Kid LAROI"/>
        <s v="Glass Animals"/>
        <s v="Alan Walker"/>
        <s v="Camila Cabello"/>
        <s v="Tones and I"/>
        <s v="Luis Fonsi"/>
        <s v="OneRepublic"/>
        <s v="The Chainsmokers"/>
        <s v="Sia"/>
        <s v="Billie Eilish"/>
        <s v="Shawn Mendes"/>
        <s v="Alec Benjamin"/>
      </sharedItems>
    </cacheField>
    <cacheField name="Genre" numFmtId="0">
      <sharedItems count="6">
        <s v="Pop"/>
        <s v="Rock"/>
        <s v="Indie"/>
        <s v="EDM"/>
        <s v="Latin"/>
        <s v="Pop Rock"/>
      </sharedItems>
    </cacheField>
    <cacheField name="Release Year" numFmtId="0">
      <sharedItems containsSemiMixedTypes="0" containsString="0" containsNumber="1" containsInteger="1" minValue="2011" maxValue="2021"/>
    </cacheField>
    <cacheField name="Streams (M)" numFmtId="0">
      <sharedItems containsSemiMixedTypes="0" containsString="0" containsNumber="1" containsInteger="1" minValue="1600" maxValue="4200"/>
    </cacheField>
    <cacheField name="Popularity" numFmtId="0">
      <sharedItems containsSemiMixedTypes="0" containsString="0" containsNumber="1" containsInteger="1" minValue="83" maxValue="95"/>
    </cacheField>
    <cacheField name="Duration (min)" numFmtId="0">
      <sharedItems containsSemiMixedTypes="0" containsString="0" containsNumber="1" minValue="2.21" maxValue="4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2020"/>
    <n v="4200"/>
    <n v="95"/>
    <n v="3.2"/>
  </r>
  <r>
    <x v="1"/>
    <x v="1"/>
    <x v="0"/>
    <n v="2017"/>
    <n v="3800"/>
    <n v="92"/>
    <n v="4.24"/>
  </r>
  <r>
    <x v="2"/>
    <x v="2"/>
    <x v="0"/>
    <n v="2011"/>
    <n v="2900"/>
    <n v="89"/>
    <n v="4.45"/>
  </r>
  <r>
    <x v="3"/>
    <x v="3"/>
    <x v="1"/>
    <n v="2017"/>
    <n v="2700"/>
    <n v="90"/>
    <n v="3.24"/>
  </r>
  <r>
    <x v="4"/>
    <x v="1"/>
    <x v="0"/>
    <n v="2017"/>
    <n v="2600"/>
    <n v="91"/>
    <n v="4.3899999999999997"/>
  </r>
  <r>
    <x v="5"/>
    <x v="4"/>
    <x v="0"/>
    <n v="2020"/>
    <n v="2500"/>
    <n v="88"/>
    <n v="3.24"/>
  </r>
  <r>
    <x v="6"/>
    <x v="5"/>
    <x v="0"/>
    <n v="2021"/>
    <n v="2400"/>
    <n v="94"/>
    <n v="2.21"/>
  </r>
  <r>
    <x v="7"/>
    <x v="6"/>
    <x v="2"/>
    <n v="2020"/>
    <n v="2300"/>
    <n v="93"/>
    <n v="3.59"/>
  </r>
  <r>
    <x v="8"/>
    <x v="7"/>
    <x v="3"/>
    <n v="2015"/>
    <n v="2200"/>
    <n v="87"/>
    <n v="3.32"/>
  </r>
  <r>
    <x v="9"/>
    <x v="8"/>
    <x v="0"/>
    <n v="2017"/>
    <n v="2100"/>
    <n v="86"/>
    <n v="3.62"/>
  </r>
  <r>
    <x v="10"/>
    <x v="9"/>
    <x v="0"/>
    <n v="2019"/>
    <n v="2050"/>
    <n v="88"/>
    <n v="3.45"/>
  </r>
  <r>
    <x v="11"/>
    <x v="10"/>
    <x v="4"/>
    <n v="2017"/>
    <n v="2000"/>
    <n v="90"/>
    <n v="3.82"/>
  </r>
  <r>
    <x v="12"/>
    <x v="11"/>
    <x v="5"/>
    <n v="2013"/>
    <n v="1950"/>
    <n v="85"/>
    <n v="4.17"/>
  </r>
  <r>
    <x v="13"/>
    <x v="12"/>
    <x v="3"/>
    <n v="2016"/>
    <n v="1900"/>
    <n v="84"/>
    <n v="4.05"/>
  </r>
  <r>
    <x v="14"/>
    <x v="13"/>
    <x v="0"/>
    <n v="2016"/>
    <n v="1850"/>
    <n v="83"/>
    <n v="3.44"/>
  </r>
  <r>
    <x v="15"/>
    <x v="14"/>
    <x v="0"/>
    <n v="2018"/>
    <n v="1800"/>
    <n v="89"/>
    <n v="3.39"/>
  </r>
  <r>
    <x v="16"/>
    <x v="15"/>
    <x v="0"/>
    <n v="2019"/>
    <n v="1750"/>
    <n v="91"/>
    <n v="3.11"/>
  </r>
  <r>
    <x v="17"/>
    <x v="14"/>
    <x v="0"/>
    <n v="2019"/>
    <n v="1700"/>
    <n v="92"/>
    <n v="3.14"/>
  </r>
  <r>
    <x v="18"/>
    <x v="3"/>
    <x v="1"/>
    <n v="2017"/>
    <n v="1650"/>
    <n v="84"/>
    <n v="3.07"/>
  </r>
  <r>
    <x v="19"/>
    <x v="16"/>
    <x v="0"/>
    <n v="2018"/>
    <n v="1600"/>
    <n v="86"/>
    <n v="2.49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868EA-B9E4-44E2-A5C8-ABF1CE0EAC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21" firstHeaderRow="1" firstDataRow="1" firstDataCol="1"/>
  <pivotFields count="7">
    <pivotField showAll="0"/>
    <pivotField axis="axisRow" showAll="0">
      <items count="18">
        <item x="2"/>
        <item x="7"/>
        <item x="16"/>
        <item x="14"/>
        <item x="8"/>
        <item x="4"/>
        <item x="1"/>
        <item x="6"/>
        <item x="3"/>
        <item x="10"/>
        <item x="11"/>
        <item x="15"/>
        <item x="13"/>
        <item x="12"/>
        <item x="5"/>
        <item x="0"/>
        <item x="9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treams (M)" fld="4" baseField="0" baseItem="0"/>
  </dataFields>
  <chartFormats count="3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C6BD3-895C-4F08-A8F1-631BFEFBA2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7">
    <pivotField showAll="0"/>
    <pivotField showAll="0"/>
    <pivotField axis="axisRow" showAll="0">
      <items count="7">
        <item x="3"/>
        <item x="2"/>
        <item x="4"/>
        <item x="0"/>
        <item x="5"/>
        <item x="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treams (M)" fld="4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50977-993E-4A4F-B6EC-EACF597472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4" firstHeaderRow="0" firstDataRow="1" firstDataCol="0"/>
  <pivotFields count="7">
    <pivotField showAll="0"/>
    <pivotField showAll="0"/>
    <pivotField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lease Year" fld="3" baseField="0" baseItem="0"/>
    <dataField name="Sum of Streams (M)" fld="4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A5569-9EF7-42B0-A0D3-478A8292FA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24" firstHeaderRow="1" firstDataRow="1" firstDataCol="1"/>
  <pivotFields count="7">
    <pivotField axis="axisRow" showAll="0">
      <items count="21">
        <item x="17"/>
        <item x="3"/>
        <item x="0"/>
        <item x="14"/>
        <item x="13"/>
        <item x="12"/>
        <item x="10"/>
        <item x="11"/>
        <item x="8"/>
        <item x="9"/>
        <item x="7"/>
        <item x="19"/>
        <item x="5"/>
        <item x="15"/>
        <item x="4"/>
        <item x="16"/>
        <item x="1"/>
        <item x="2"/>
        <item x="6"/>
        <item x="18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Popularity" fld="5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BC82-22CE-4D6B-915E-7FA360E5A18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C24" firstHeaderRow="0" firstDataRow="1" firstDataCol="1"/>
  <pivotFields count="7">
    <pivotField axis="axisRow" showAll="0">
      <items count="21">
        <item x="17"/>
        <item x="3"/>
        <item x="0"/>
        <item x="14"/>
        <item x="13"/>
        <item x="12"/>
        <item x="10"/>
        <item x="11"/>
        <item x="8"/>
        <item x="9"/>
        <item x="7"/>
        <item x="19"/>
        <item x="5"/>
        <item x="15"/>
        <item x="4"/>
        <item x="16"/>
        <item x="1"/>
        <item x="2"/>
        <item x="6"/>
        <item x="18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reams (M)" fld="4" baseField="0" baseItem="0"/>
    <dataField name="Sum of Popularity" fld="5" baseField="0" baseItem="0"/>
  </dataFields>
  <chartFormats count="4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6996F-0BCF-48E4-A846-42B9C343A5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7">
    <pivotField showAll="0">
      <items count="21">
        <item x="17"/>
        <item x="3"/>
        <item x="0"/>
        <item x="14"/>
        <item x="13"/>
        <item x="12"/>
        <item x="10"/>
        <item x="11"/>
        <item x="8"/>
        <item x="9"/>
        <item x="7"/>
        <item x="19"/>
        <item x="5"/>
        <item x="15"/>
        <item x="4"/>
        <item x="16"/>
        <item x="1"/>
        <item x="2"/>
        <item x="6"/>
        <item x="18"/>
        <item t="default"/>
      </items>
    </pivotField>
    <pivotField showAll="0"/>
    <pivotField axis="axisRow" showAll="0">
      <items count="7">
        <item x="3"/>
        <item x="2"/>
        <item x="4"/>
        <item x="0"/>
        <item x="5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opularity" fld="5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80585-831A-4D54-8AFC-DE50A6417815}" name="Table1" displayName="Table1" ref="A1:G21" totalsRowShown="0" headerRowDxfId="8" dataDxfId="7">
  <autoFilter ref="A1:G21" xr:uid="{C9780585-831A-4D54-8AFC-DE50A6417815}"/>
  <tableColumns count="7">
    <tableColumn id="1" xr3:uid="{CA2CEC91-8BB8-42C2-B2C0-FAB5C80EA60D}" name="Song" dataDxfId="6"/>
    <tableColumn id="2" xr3:uid="{CA614F78-B908-4EB8-A01D-0809EC240F8A}" name="Artist" dataDxfId="5"/>
    <tableColumn id="3" xr3:uid="{BC5526D9-B143-480B-A325-F390FAD3917F}" name="Genre" dataDxfId="4"/>
    <tableColumn id="4" xr3:uid="{F0933AE2-549D-4E68-A492-F591E2E5CF81}" name="Release Year" dataDxfId="3"/>
    <tableColumn id="5" xr3:uid="{2445982D-1148-4142-97ED-69D651509AFA}" name="Streams (M)" dataDxfId="2"/>
    <tableColumn id="6" xr3:uid="{64E110EF-6C7F-4295-9DAD-A9415B5803BB}" name="Popularity" dataDxfId="1"/>
    <tableColumn id="7" xr3:uid="{130C572D-8848-48E2-82A5-57B70E5D9B7F}" name="Duration (min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4202-39B6-476E-BD65-7964D7CBD9D9}">
  <dimension ref="A1:R2"/>
  <sheetViews>
    <sheetView showGridLines="0" tabSelected="1" zoomScale="59" workbookViewId="0">
      <selection activeCell="Z29" sqref="Z29"/>
    </sheetView>
  </sheetViews>
  <sheetFormatPr defaultRowHeight="14.4" x14ac:dyDescent="0.3"/>
  <cols>
    <col min="1" max="16384" width="8.88671875" style="6"/>
  </cols>
  <sheetData>
    <row r="1" spans="1:18" ht="39.6" customHeight="1" x14ac:dyDescent="0.3">
      <c r="A1" s="5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F2" s="7"/>
    </row>
  </sheetData>
  <mergeCells count="1">
    <mergeCell ref="A1:R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C491-7696-4AFA-BCAC-9A2EF70E3081}">
  <dimension ref="A1:G21"/>
  <sheetViews>
    <sheetView workbookViewId="0">
      <selection sqref="A1:G21"/>
    </sheetView>
  </sheetViews>
  <sheetFormatPr defaultRowHeight="14.4" x14ac:dyDescent="0.3"/>
  <cols>
    <col min="1" max="1" width="17.77734375" bestFit="1" customWidth="1"/>
    <col min="2" max="2" width="15.88671875" bestFit="1" customWidth="1"/>
    <col min="3" max="3" width="10.5546875" customWidth="1"/>
    <col min="4" max="4" width="19" customWidth="1"/>
    <col min="5" max="5" width="18.21875" customWidth="1"/>
    <col min="6" max="6" width="15.77734375" customWidth="1"/>
    <col min="7" max="7" width="21.109375" customWidth="1"/>
  </cols>
  <sheetData>
    <row r="1" spans="1:7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1">
        <v>2020</v>
      </c>
      <c r="E2" s="1">
        <v>4200</v>
      </c>
      <c r="F2" s="1">
        <v>95</v>
      </c>
      <c r="G2" s="1">
        <v>3.2</v>
      </c>
    </row>
    <row r="3" spans="1:7" x14ac:dyDescent="0.3">
      <c r="A3" s="3" t="s">
        <v>10</v>
      </c>
      <c r="B3" s="3" t="s">
        <v>11</v>
      </c>
      <c r="C3" s="3" t="s">
        <v>9</v>
      </c>
      <c r="D3" s="1">
        <v>2017</v>
      </c>
      <c r="E3" s="1">
        <v>3800</v>
      </c>
      <c r="F3" s="1">
        <v>92</v>
      </c>
      <c r="G3" s="1">
        <v>4.24</v>
      </c>
    </row>
    <row r="4" spans="1:7" x14ac:dyDescent="0.3">
      <c r="A4" s="3" t="s">
        <v>12</v>
      </c>
      <c r="B4" s="3" t="s">
        <v>13</v>
      </c>
      <c r="C4" s="3" t="s">
        <v>9</v>
      </c>
      <c r="D4" s="1">
        <v>2011</v>
      </c>
      <c r="E4" s="1">
        <v>2900</v>
      </c>
      <c r="F4" s="1">
        <v>89</v>
      </c>
      <c r="G4" s="1">
        <v>4.45</v>
      </c>
    </row>
    <row r="5" spans="1:7" x14ac:dyDescent="0.3">
      <c r="A5" s="3" t="s">
        <v>14</v>
      </c>
      <c r="B5" s="3" t="s">
        <v>15</v>
      </c>
      <c r="C5" s="3" t="s">
        <v>16</v>
      </c>
      <c r="D5" s="1">
        <v>2017</v>
      </c>
      <c r="E5" s="1">
        <v>2700</v>
      </c>
      <c r="F5" s="1">
        <v>90</v>
      </c>
      <c r="G5" s="1">
        <v>3.24</v>
      </c>
    </row>
    <row r="6" spans="1:7" x14ac:dyDescent="0.3">
      <c r="A6" s="3" t="s">
        <v>17</v>
      </c>
      <c r="B6" s="3" t="s">
        <v>11</v>
      </c>
      <c r="C6" s="3" t="s">
        <v>9</v>
      </c>
      <c r="D6" s="1">
        <v>2017</v>
      </c>
      <c r="E6" s="1">
        <v>2600</v>
      </c>
      <c r="F6" s="1">
        <v>91</v>
      </c>
      <c r="G6" s="1">
        <v>4.3899999999999997</v>
      </c>
    </row>
    <row r="7" spans="1:7" x14ac:dyDescent="0.3">
      <c r="A7" s="3" t="s">
        <v>18</v>
      </c>
      <c r="B7" s="3" t="s">
        <v>19</v>
      </c>
      <c r="C7" s="3" t="s">
        <v>9</v>
      </c>
      <c r="D7" s="1">
        <v>2020</v>
      </c>
      <c r="E7" s="1">
        <v>2500</v>
      </c>
      <c r="F7" s="1">
        <v>88</v>
      </c>
      <c r="G7" s="1">
        <v>3.24</v>
      </c>
    </row>
    <row r="8" spans="1:7" x14ac:dyDescent="0.3">
      <c r="A8" s="3" t="s">
        <v>20</v>
      </c>
      <c r="B8" s="3" t="s">
        <v>21</v>
      </c>
      <c r="C8" s="3" t="s">
        <v>9</v>
      </c>
      <c r="D8" s="1">
        <v>2021</v>
      </c>
      <c r="E8" s="1">
        <v>2400</v>
      </c>
      <c r="F8" s="1">
        <v>94</v>
      </c>
      <c r="G8" s="1">
        <v>2.21</v>
      </c>
    </row>
    <row r="9" spans="1:7" x14ac:dyDescent="0.3">
      <c r="A9" s="3" t="s">
        <v>22</v>
      </c>
      <c r="B9" s="3" t="s">
        <v>23</v>
      </c>
      <c r="C9" s="3" t="s">
        <v>24</v>
      </c>
      <c r="D9" s="1">
        <v>2020</v>
      </c>
      <c r="E9" s="1">
        <v>2300</v>
      </c>
      <c r="F9" s="1">
        <v>93</v>
      </c>
      <c r="G9" s="1">
        <v>3.59</v>
      </c>
    </row>
    <row r="10" spans="1:7" x14ac:dyDescent="0.3">
      <c r="A10" s="3" t="s">
        <v>25</v>
      </c>
      <c r="B10" s="3" t="s">
        <v>26</v>
      </c>
      <c r="C10" s="3" t="s">
        <v>27</v>
      </c>
      <c r="D10" s="1">
        <v>2015</v>
      </c>
      <c r="E10" s="1">
        <v>2200</v>
      </c>
      <c r="F10" s="1">
        <v>87</v>
      </c>
      <c r="G10" s="1">
        <v>3.32</v>
      </c>
    </row>
    <row r="11" spans="1:7" x14ac:dyDescent="0.3">
      <c r="A11" s="3" t="s">
        <v>28</v>
      </c>
      <c r="B11" s="3" t="s">
        <v>29</v>
      </c>
      <c r="C11" s="3" t="s">
        <v>9</v>
      </c>
      <c r="D11" s="1">
        <v>2017</v>
      </c>
      <c r="E11" s="1">
        <v>2100</v>
      </c>
      <c r="F11" s="1">
        <v>86</v>
      </c>
      <c r="G11" s="1">
        <v>3.62</v>
      </c>
    </row>
    <row r="12" spans="1:7" x14ac:dyDescent="0.3">
      <c r="A12" s="3" t="s">
        <v>30</v>
      </c>
      <c r="B12" s="3" t="s">
        <v>31</v>
      </c>
      <c r="C12" s="3" t="s">
        <v>9</v>
      </c>
      <c r="D12" s="1">
        <v>2019</v>
      </c>
      <c r="E12" s="1">
        <v>2050</v>
      </c>
      <c r="F12" s="1">
        <v>88</v>
      </c>
      <c r="G12" s="1">
        <v>3.45</v>
      </c>
    </row>
    <row r="13" spans="1:7" x14ac:dyDescent="0.3">
      <c r="A13" s="3" t="s">
        <v>32</v>
      </c>
      <c r="B13" s="3" t="s">
        <v>33</v>
      </c>
      <c r="C13" s="3" t="s">
        <v>34</v>
      </c>
      <c r="D13" s="1">
        <v>2017</v>
      </c>
      <c r="E13" s="1">
        <v>2000</v>
      </c>
      <c r="F13" s="1">
        <v>90</v>
      </c>
      <c r="G13" s="1">
        <v>3.82</v>
      </c>
    </row>
    <row r="14" spans="1:7" x14ac:dyDescent="0.3">
      <c r="A14" s="3" t="s">
        <v>35</v>
      </c>
      <c r="B14" s="3" t="s">
        <v>36</v>
      </c>
      <c r="C14" s="3" t="s">
        <v>37</v>
      </c>
      <c r="D14" s="1">
        <v>2013</v>
      </c>
      <c r="E14" s="1">
        <v>1950</v>
      </c>
      <c r="F14" s="1">
        <v>85</v>
      </c>
      <c r="G14" s="1">
        <v>4.17</v>
      </c>
    </row>
    <row r="15" spans="1:7" x14ac:dyDescent="0.3">
      <c r="A15" s="3" t="s">
        <v>38</v>
      </c>
      <c r="B15" s="3" t="s">
        <v>39</v>
      </c>
      <c r="C15" s="3" t="s">
        <v>27</v>
      </c>
      <c r="D15" s="1">
        <v>2016</v>
      </c>
      <c r="E15" s="1">
        <v>1900</v>
      </c>
      <c r="F15" s="1">
        <v>84</v>
      </c>
      <c r="G15" s="1">
        <v>4.05</v>
      </c>
    </row>
    <row r="16" spans="1:7" x14ac:dyDescent="0.3">
      <c r="A16" s="3" t="s">
        <v>40</v>
      </c>
      <c r="B16" s="3" t="s">
        <v>41</v>
      </c>
      <c r="C16" s="3" t="s">
        <v>9</v>
      </c>
      <c r="D16" s="1">
        <v>2016</v>
      </c>
      <c r="E16" s="1">
        <v>1850</v>
      </c>
      <c r="F16" s="1">
        <v>83</v>
      </c>
      <c r="G16" s="1">
        <v>3.44</v>
      </c>
    </row>
    <row r="17" spans="1:7" x14ac:dyDescent="0.3">
      <c r="A17" s="3" t="s">
        <v>42</v>
      </c>
      <c r="B17" s="3" t="s">
        <v>43</v>
      </c>
      <c r="C17" s="3" t="s">
        <v>9</v>
      </c>
      <c r="D17" s="1">
        <v>2018</v>
      </c>
      <c r="E17" s="1">
        <v>1800</v>
      </c>
      <c r="F17" s="1">
        <v>89</v>
      </c>
      <c r="G17" s="1">
        <v>3.39</v>
      </c>
    </row>
    <row r="18" spans="1:7" x14ac:dyDescent="0.3">
      <c r="A18" s="3" t="s">
        <v>44</v>
      </c>
      <c r="B18" s="3" t="s">
        <v>45</v>
      </c>
      <c r="C18" s="3" t="s">
        <v>9</v>
      </c>
      <c r="D18" s="1">
        <v>2019</v>
      </c>
      <c r="E18" s="1">
        <v>1750</v>
      </c>
      <c r="F18" s="1">
        <v>91</v>
      </c>
      <c r="G18" s="1">
        <v>3.11</v>
      </c>
    </row>
    <row r="19" spans="1:7" x14ac:dyDescent="0.3">
      <c r="A19" s="3" t="s">
        <v>46</v>
      </c>
      <c r="B19" s="3" t="s">
        <v>43</v>
      </c>
      <c r="C19" s="3" t="s">
        <v>9</v>
      </c>
      <c r="D19" s="1">
        <v>2019</v>
      </c>
      <c r="E19" s="1">
        <v>1700</v>
      </c>
      <c r="F19" s="1">
        <v>92</v>
      </c>
      <c r="G19" s="1">
        <v>3.14</v>
      </c>
    </row>
    <row r="20" spans="1:7" x14ac:dyDescent="0.3">
      <c r="A20" s="3" t="s">
        <v>47</v>
      </c>
      <c r="B20" s="3" t="s">
        <v>15</v>
      </c>
      <c r="C20" s="3" t="s">
        <v>16</v>
      </c>
      <c r="D20" s="1">
        <v>2017</v>
      </c>
      <c r="E20" s="1">
        <v>1650</v>
      </c>
      <c r="F20" s="1">
        <v>84</v>
      </c>
      <c r="G20" s="1">
        <v>3.07</v>
      </c>
    </row>
    <row r="21" spans="1:7" x14ac:dyDescent="0.3">
      <c r="A21" s="3" t="s">
        <v>48</v>
      </c>
      <c r="B21" s="3" t="s">
        <v>49</v>
      </c>
      <c r="C21" s="3" t="s">
        <v>9</v>
      </c>
      <c r="D21" s="1">
        <v>2018</v>
      </c>
      <c r="E21" s="1">
        <v>1600</v>
      </c>
      <c r="F21" s="1">
        <v>86</v>
      </c>
      <c r="G21" s="1">
        <v>2.4900000000000002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10DA-95D6-4AB1-963A-F35FCF3D7207}">
  <dimension ref="A3:B21"/>
  <sheetViews>
    <sheetView workbookViewId="0">
      <selection activeCell="O19" sqref="O19"/>
    </sheetView>
  </sheetViews>
  <sheetFormatPr defaultRowHeight="14.4" x14ac:dyDescent="0.3"/>
  <cols>
    <col min="1" max="1" width="15.88671875" bestFit="1" customWidth="1"/>
    <col min="2" max="2" width="18" bestFit="1" customWidth="1"/>
  </cols>
  <sheetData>
    <row r="3" spans="1:2" x14ac:dyDescent="0.3">
      <c r="A3" s="4" t="s">
        <v>50</v>
      </c>
      <c r="B3" t="s">
        <v>52</v>
      </c>
    </row>
    <row r="4" spans="1:2" x14ac:dyDescent="0.3">
      <c r="A4" s="3" t="s">
        <v>13</v>
      </c>
      <c r="B4">
        <v>2900</v>
      </c>
    </row>
    <row r="5" spans="1:2" x14ac:dyDescent="0.3">
      <c r="A5" s="3" t="s">
        <v>26</v>
      </c>
      <c r="B5">
        <v>2200</v>
      </c>
    </row>
    <row r="6" spans="1:2" x14ac:dyDescent="0.3">
      <c r="A6" s="3" t="s">
        <v>49</v>
      </c>
      <c r="B6">
        <v>1600</v>
      </c>
    </row>
    <row r="7" spans="1:2" x14ac:dyDescent="0.3">
      <c r="A7" s="3" t="s">
        <v>43</v>
      </c>
      <c r="B7">
        <v>3500</v>
      </c>
    </row>
    <row r="8" spans="1:2" x14ac:dyDescent="0.3">
      <c r="A8" s="3" t="s">
        <v>29</v>
      </c>
      <c r="B8">
        <v>2100</v>
      </c>
    </row>
    <row r="9" spans="1:2" x14ac:dyDescent="0.3">
      <c r="A9" s="3" t="s">
        <v>19</v>
      </c>
      <c r="B9">
        <v>2500</v>
      </c>
    </row>
    <row r="10" spans="1:2" x14ac:dyDescent="0.3">
      <c r="A10" s="3" t="s">
        <v>11</v>
      </c>
      <c r="B10">
        <v>6400</v>
      </c>
    </row>
    <row r="11" spans="1:2" x14ac:dyDescent="0.3">
      <c r="A11" s="3" t="s">
        <v>23</v>
      </c>
      <c r="B11">
        <v>2300</v>
      </c>
    </row>
    <row r="12" spans="1:2" x14ac:dyDescent="0.3">
      <c r="A12" s="3" t="s">
        <v>15</v>
      </c>
      <c r="B12">
        <v>4350</v>
      </c>
    </row>
    <row r="13" spans="1:2" x14ac:dyDescent="0.3">
      <c r="A13" s="3" t="s">
        <v>33</v>
      </c>
      <c r="B13">
        <v>2000</v>
      </c>
    </row>
    <row r="14" spans="1:2" x14ac:dyDescent="0.3">
      <c r="A14" s="3" t="s">
        <v>36</v>
      </c>
      <c r="B14">
        <v>1950</v>
      </c>
    </row>
    <row r="15" spans="1:2" x14ac:dyDescent="0.3">
      <c r="A15" s="3" t="s">
        <v>45</v>
      </c>
      <c r="B15">
        <v>1750</v>
      </c>
    </row>
    <row r="16" spans="1:2" x14ac:dyDescent="0.3">
      <c r="A16" s="3" t="s">
        <v>41</v>
      </c>
      <c r="B16">
        <v>1850</v>
      </c>
    </row>
    <row r="17" spans="1:2" x14ac:dyDescent="0.3">
      <c r="A17" s="3" t="s">
        <v>39</v>
      </c>
      <c r="B17">
        <v>1900</v>
      </c>
    </row>
    <row r="18" spans="1:2" x14ac:dyDescent="0.3">
      <c r="A18" s="3" t="s">
        <v>21</v>
      </c>
      <c r="B18">
        <v>2400</v>
      </c>
    </row>
    <row r="19" spans="1:2" x14ac:dyDescent="0.3">
      <c r="A19" s="3" t="s">
        <v>8</v>
      </c>
      <c r="B19">
        <v>4200</v>
      </c>
    </row>
    <row r="20" spans="1:2" x14ac:dyDescent="0.3">
      <c r="A20" s="3" t="s">
        <v>31</v>
      </c>
      <c r="B20">
        <v>2050</v>
      </c>
    </row>
    <row r="21" spans="1:2" x14ac:dyDescent="0.3">
      <c r="A21" s="3" t="s">
        <v>51</v>
      </c>
      <c r="B21">
        <v>45950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B37A-B35C-41F3-86B3-A0A1ED4C0CDF}">
  <dimension ref="A3:B10"/>
  <sheetViews>
    <sheetView workbookViewId="0">
      <selection activeCell="K21" sqref="K21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4" t="s">
        <v>50</v>
      </c>
      <c r="B3" t="s">
        <v>52</v>
      </c>
    </row>
    <row r="4" spans="1:2" x14ac:dyDescent="0.3">
      <c r="A4" s="3" t="s">
        <v>27</v>
      </c>
      <c r="B4">
        <v>4100</v>
      </c>
    </row>
    <row r="5" spans="1:2" x14ac:dyDescent="0.3">
      <c r="A5" s="3" t="s">
        <v>24</v>
      </c>
      <c r="B5">
        <v>2300</v>
      </c>
    </row>
    <row r="6" spans="1:2" x14ac:dyDescent="0.3">
      <c r="A6" s="3" t="s">
        <v>34</v>
      </c>
      <c r="B6">
        <v>2000</v>
      </c>
    </row>
    <row r="7" spans="1:2" x14ac:dyDescent="0.3">
      <c r="A7" s="3" t="s">
        <v>9</v>
      </c>
      <c r="B7">
        <v>31250</v>
      </c>
    </row>
    <row r="8" spans="1:2" x14ac:dyDescent="0.3">
      <c r="A8" s="3" t="s">
        <v>37</v>
      </c>
      <c r="B8">
        <v>1950</v>
      </c>
    </row>
    <row r="9" spans="1:2" x14ac:dyDescent="0.3">
      <c r="A9" s="3" t="s">
        <v>16</v>
      </c>
      <c r="B9">
        <v>4350</v>
      </c>
    </row>
    <row r="10" spans="1:2" x14ac:dyDescent="0.3">
      <c r="A10" s="3" t="s">
        <v>51</v>
      </c>
      <c r="B10">
        <v>45950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71F0-C430-4824-9495-CDD56571407B}">
  <dimension ref="A3:B4"/>
  <sheetViews>
    <sheetView workbookViewId="0">
      <selection activeCell="H25" sqref="H25"/>
    </sheetView>
  </sheetViews>
  <sheetFormatPr defaultRowHeight="14.4" x14ac:dyDescent="0.3"/>
  <cols>
    <col min="1" max="1" width="18.109375" bestFit="1" customWidth="1"/>
    <col min="2" max="2" width="18" bestFit="1" customWidth="1"/>
  </cols>
  <sheetData>
    <row r="3" spans="1:2" x14ac:dyDescent="0.3">
      <c r="A3" t="s">
        <v>53</v>
      </c>
      <c r="B3" t="s">
        <v>52</v>
      </c>
    </row>
    <row r="4" spans="1:2" x14ac:dyDescent="0.3">
      <c r="A4">
        <v>40347</v>
      </c>
      <c r="B4">
        <v>45950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5A37-B698-40FD-9FFF-C52FD6AB4C4C}">
  <dimension ref="A3:B24"/>
  <sheetViews>
    <sheetView workbookViewId="0">
      <selection activeCell="I25" sqref="I25"/>
    </sheetView>
  </sheetViews>
  <sheetFormatPr defaultRowHeight="14.4" x14ac:dyDescent="0.3"/>
  <cols>
    <col min="1" max="1" width="17.77734375" bestFit="1" customWidth="1"/>
    <col min="2" max="2" width="16.21875" bestFit="1" customWidth="1"/>
  </cols>
  <sheetData>
    <row r="3" spans="1:2" x14ac:dyDescent="0.3">
      <c r="A3" s="4" t="s">
        <v>50</v>
      </c>
      <c r="B3" t="s">
        <v>54</v>
      </c>
    </row>
    <row r="4" spans="1:2" x14ac:dyDescent="0.3">
      <c r="A4" s="3" t="s">
        <v>46</v>
      </c>
      <c r="B4">
        <v>92</v>
      </c>
    </row>
    <row r="5" spans="1:2" x14ac:dyDescent="0.3">
      <c r="A5" s="3" t="s">
        <v>14</v>
      </c>
      <c r="B5">
        <v>90</v>
      </c>
    </row>
    <row r="6" spans="1:2" x14ac:dyDescent="0.3">
      <c r="A6" s="3" t="s">
        <v>7</v>
      </c>
      <c r="B6">
        <v>95</v>
      </c>
    </row>
    <row r="7" spans="1:2" x14ac:dyDescent="0.3">
      <c r="A7" s="3" t="s">
        <v>40</v>
      </c>
      <c r="B7">
        <v>83</v>
      </c>
    </row>
    <row r="8" spans="1:2" x14ac:dyDescent="0.3">
      <c r="A8" s="3" t="s">
        <v>38</v>
      </c>
      <c r="B8">
        <v>84</v>
      </c>
    </row>
    <row r="9" spans="1:2" x14ac:dyDescent="0.3">
      <c r="A9" s="3" t="s">
        <v>35</v>
      </c>
      <c r="B9">
        <v>85</v>
      </c>
    </row>
    <row r="10" spans="1:2" x14ac:dyDescent="0.3">
      <c r="A10" s="3" t="s">
        <v>30</v>
      </c>
      <c r="B10">
        <v>88</v>
      </c>
    </row>
    <row r="11" spans="1:2" x14ac:dyDescent="0.3">
      <c r="A11" s="3" t="s">
        <v>32</v>
      </c>
      <c r="B11">
        <v>90</v>
      </c>
    </row>
    <row r="12" spans="1:2" x14ac:dyDescent="0.3">
      <c r="A12" s="3" t="s">
        <v>25</v>
      </c>
      <c r="B12">
        <v>87</v>
      </c>
    </row>
    <row r="13" spans="1:2" x14ac:dyDescent="0.3">
      <c r="A13" s="3" t="s">
        <v>28</v>
      </c>
      <c r="B13">
        <v>86</v>
      </c>
    </row>
    <row r="14" spans="1:2" x14ac:dyDescent="0.3">
      <c r="A14" s="3" t="s">
        <v>22</v>
      </c>
      <c r="B14">
        <v>93</v>
      </c>
    </row>
    <row r="15" spans="1:2" x14ac:dyDescent="0.3">
      <c r="A15" s="3" t="s">
        <v>48</v>
      </c>
      <c r="B15">
        <v>86</v>
      </c>
    </row>
    <row r="16" spans="1:2" x14ac:dyDescent="0.3">
      <c r="A16" s="3" t="s">
        <v>18</v>
      </c>
      <c r="B16">
        <v>88</v>
      </c>
    </row>
    <row r="17" spans="1:2" x14ac:dyDescent="0.3">
      <c r="A17" s="3" t="s">
        <v>42</v>
      </c>
      <c r="B17">
        <v>89</v>
      </c>
    </row>
    <row r="18" spans="1:2" x14ac:dyDescent="0.3">
      <c r="A18" s="3" t="s">
        <v>17</v>
      </c>
      <c r="B18">
        <v>91</v>
      </c>
    </row>
    <row r="19" spans="1:2" x14ac:dyDescent="0.3">
      <c r="A19" s="3" t="s">
        <v>44</v>
      </c>
      <c r="B19">
        <v>91</v>
      </c>
    </row>
    <row r="20" spans="1:2" x14ac:dyDescent="0.3">
      <c r="A20" s="3" t="s">
        <v>10</v>
      </c>
      <c r="B20">
        <v>92</v>
      </c>
    </row>
    <row r="21" spans="1:2" x14ac:dyDescent="0.3">
      <c r="A21" s="3" t="s">
        <v>12</v>
      </c>
      <c r="B21">
        <v>89</v>
      </c>
    </row>
    <row r="22" spans="1:2" x14ac:dyDescent="0.3">
      <c r="A22" s="3" t="s">
        <v>20</v>
      </c>
      <c r="B22">
        <v>94</v>
      </c>
    </row>
    <row r="23" spans="1:2" x14ac:dyDescent="0.3">
      <c r="A23" s="3" t="s">
        <v>47</v>
      </c>
      <c r="B23">
        <v>84</v>
      </c>
    </row>
    <row r="24" spans="1:2" x14ac:dyDescent="0.3">
      <c r="A24" s="3" t="s">
        <v>51</v>
      </c>
      <c r="B24">
        <v>1777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7943-3945-4BD8-954D-4DEEB9532A74}">
  <dimension ref="A3:C24"/>
  <sheetViews>
    <sheetView workbookViewId="0">
      <selection activeCell="Q17" sqref="Q17"/>
    </sheetView>
  </sheetViews>
  <sheetFormatPr defaultRowHeight="14.4" x14ac:dyDescent="0.3"/>
  <cols>
    <col min="1" max="1" width="17.77734375" bestFit="1" customWidth="1"/>
    <col min="2" max="2" width="18" bestFit="1" customWidth="1"/>
    <col min="3" max="3" width="16.21875" bestFit="1" customWidth="1"/>
  </cols>
  <sheetData>
    <row r="3" spans="1:3" x14ac:dyDescent="0.3">
      <c r="A3" s="4" t="s">
        <v>50</v>
      </c>
      <c r="B3" t="s">
        <v>52</v>
      </c>
      <c r="C3" t="s">
        <v>54</v>
      </c>
    </row>
    <row r="4" spans="1:3" x14ac:dyDescent="0.3">
      <c r="A4" s="3" t="s">
        <v>46</v>
      </c>
      <c r="B4">
        <v>1700</v>
      </c>
      <c r="C4">
        <v>92</v>
      </c>
    </row>
    <row r="5" spans="1:3" x14ac:dyDescent="0.3">
      <c r="A5" s="3" t="s">
        <v>14</v>
      </c>
      <c r="B5">
        <v>2700</v>
      </c>
      <c r="C5">
        <v>90</v>
      </c>
    </row>
    <row r="6" spans="1:3" x14ac:dyDescent="0.3">
      <c r="A6" s="3" t="s">
        <v>7</v>
      </c>
      <c r="B6">
        <v>4200</v>
      </c>
      <c r="C6">
        <v>95</v>
      </c>
    </row>
    <row r="7" spans="1:3" x14ac:dyDescent="0.3">
      <c r="A7" s="3" t="s">
        <v>40</v>
      </c>
      <c r="B7">
        <v>1850</v>
      </c>
      <c r="C7">
        <v>83</v>
      </c>
    </row>
    <row r="8" spans="1:3" x14ac:dyDescent="0.3">
      <c r="A8" s="3" t="s">
        <v>38</v>
      </c>
      <c r="B8">
        <v>1900</v>
      </c>
      <c r="C8">
        <v>84</v>
      </c>
    </row>
    <row r="9" spans="1:3" x14ac:dyDescent="0.3">
      <c r="A9" s="3" t="s">
        <v>35</v>
      </c>
      <c r="B9">
        <v>1950</v>
      </c>
      <c r="C9">
        <v>85</v>
      </c>
    </row>
    <row r="10" spans="1:3" x14ac:dyDescent="0.3">
      <c r="A10" s="3" t="s">
        <v>30</v>
      </c>
      <c r="B10">
        <v>2050</v>
      </c>
      <c r="C10">
        <v>88</v>
      </c>
    </row>
    <row r="11" spans="1:3" x14ac:dyDescent="0.3">
      <c r="A11" s="3" t="s">
        <v>32</v>
      </c>
      <c r="B11">
        <v>2000</v>
      </c>
      <c r="C11">
        <v>90</v>
      </c>
    </row>
    <row r="12" spans="1:3" x14ac:dyDescent="0.3">
      <c r="A12" s="3" t="s">
        <v>25</v>
      </c>
      <c r="B12">
        <v>2200</v>
      </c>
      <c r="C12">
        <v>87</v>
      </c>
    </row>
    <row r="13" spans="1:3" x14ac:dyDescent="0.3">
      <c r="A13" s="3" t="s">
        <v>28</v>
      </c>
      <c r="B13">
        <v>2100</v>
      </c>
      <c r="C13">
        <v>86</v>
      </c>
    </row>
    <row r="14" spans="1:3" x14ac:dyDescent="0.3">
      <c r="A14" s="3" t="s">
        <v>22</v>
      </c>
      <c r="B14">
        <v>2300</v>
      </c>
      <c r="C14">
        <v>93</v>
      </c>
    </row>
    <row r="15" spans="1:3" x14ac:dyDescent="0.3">
      <c r="A15" s="3" t="s">
        <v>48</v>
      </c>
      <c r="B15">
        <v>1600</v>
      </c>
      <c r="C15">
        <v>86</v>
      </c>
    </row>
    <row r="16" spans="1:3" x14ac:dyDescent="0.3">
      <c r="A16" s="3" t="s">
        <v>18</v>
      </c>
      <c r="B16">
        <v>2500</v>
      </c>
      <c r="C16">
        <v>88</v>
      </c>
    </row>
    <row r="17" spans="1:3" x14ac:dyDescent="0.3">
      <c r="A17" s="3" t="s">
        <v>42</v>
      </c>
      <c r="B17">
        <v>1800</v>
      </c>
      <c r="C17">
        <v>89</v>
      </c>
    </row>
    <row r="18" spans="1:3" x14ac:dyDescent="0.3">
      <c r="A18" s="3" t="s">
        <v>17</v>
      </c>
      <c r="B18">
        <v>2600</v>
      </c>
      <c r="C18">
        <v>91</v>
      </c>
    </row>
    <row r="19" spans="1:3" x14ac:dyDescent="0.3">
      <c r="A19" s="3" t="s">
        <v>44</v>
      </c>
      <c r="B19">
        <v>1750</v>
      </c>
      <c r="C19">
        <v>91</v>
      </c>
    </row>
    <row r="20" spans="1:3" x14ac:dyDescent="0.3">
      <c r="A20" s="3" t="s">
        <v>10</v>
      </c>
      <c r="B20">
        <v>3800</v>
      </c>
      <c r="C20">
        <v>92</v>
      </c>
    </row>
    <row r="21" spans="1:3" x14ac:dyDescent="0.3">
      <c r="A21" s="3" t="s">
        <v>12</v>
      </c>
      <c r="B21">
        <v>2900</v>
      </c>
      <c r="C21">
        <v>89</v>
      </c>
    </row>
    <row r="22" spans="1:3" x14ac:dyDescent="0.3">
      <c r="A22" s="3" t="s">
        <v>20</v>
      </c>
      <c r="B22">
        <v>2400</v>
      </c>
      <c r="C22">
        <v>94</v>
      </c>
    </row>
    <row r="23" spans="1:3" x14ac:dyDescent="0.3">
      <c r="A23" s="3" t="s">
        <v>47</v>
      </c>
      <c r="B23">
        <v>1650</v>
      </c>
      <c r="C23">
        <v>84</v>
      </c>
    </row>
    <row r="24" spans="1:3" x14ac:dyDescent="0.3">
      <c r="A24" s="3" t="s">
        <v>51</v>
      </c>
      <c r="B24">
        <v>45950</v>
      </c>
      <c r="C24">
        <v>1777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B2E7-1575-47CA-B097-1EC4B32C87F2}">
  <dimension ref="A3:B10"/>
  <sheetViews>
    <sheetView workbookViewId="0">
      <selection activeCell="S18" sqref="S18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5.21875" bestFit="1" customWidth="1"/>
    <col min="4" max="4" width="5.109375" bestFit="1" customWidth="1"/>
    <col min="5" max="5" width="4.33203125" bestFit="1" customWidth="1"/>
    <col min="7" max="7" width="5.109375" bestFit="1" customWidth="1"/>
    <col min="8" max="8" width="10.77734375" bestFit="1" customWidth="1"/>
  </cols>
  <sheetData>
    <row r="3" spans="1:2" x14ac:dyDescent="0.3">
      <c r="A3" s="4" t="s">
        <v>50</v>
      </c>
      <c r="B3" t="s">
        <v>54</v>
      </c>
    </row>
    <row r="4" spans="1:2" x14ac:dyDescent="0.3">
      <c r="A4" s="3" t="s">
        <v>27</v>
      </c>
      <c r="B4">
        <v>171</v>
      </c>
    </row>
    <row r="5" spans="1:2" x14ac:dyDescent="0.3">
      <c r="A5" s="3" t="s">
        <v>24</v>
      </c>
      <c r="B5">
        <v>93</v>
      </c>
    </row>
    <row r="6" spans="1:2" x14ac:dyDescent="0.3">
      <c r="A6" s="3" t="s">
        <v>34</v>
      </c>
      <c r="B6">
        <v>90</v>
      </c>
    </row>
    <row r="7" spans="1:2" x14ac:dyDescent="0.3">
      <c r="A7" s="3" t="s">
        <v>9</v>
      </c>
      <c r="B7">
        <v>1164</v>
      </c>
    </row>
    <row r="8" spans="1:2" x14ac:dyDescent="0.3">
      <c r="A8" s="3" t="s">
        <v>37</v>
      </c>
      <c r="B8">
        <v>85</v>
      </c>
    </row>
    <row r="9" spans="1:2" x14ac:dyDescent="0.3">
      <c r="A9" s="3" t="s">
        <v>16</v>
      </c>
      <c r="B9">
        <v>174</v>
      </c>
    </row>
    <row r="10" spans="1:2" x14ac:dyDescent="0.3">
      <c r="A10" s="3" t="s">
        <v>51</v>
      </c>
      <c r="B10">
        <v>1777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sharma</dc:creator>
  <cp:lastModifiedBy>Prateek sharma</cp:lastModifiedBy>
  <cp:lastPrinted>2026-09-18T07:15:44Z</cp:lastPrinted>
  <dcterms:created xsi:type="dcterms:W3CDTF">2026-09-18T06:31:10Z</dcterms:created>
  <dcterms:modified xsi:type="dcterms:W3CDTF">2026-09-21T05:00:31Z</dcterms:modified>
</cp:coreProperties>
</file>